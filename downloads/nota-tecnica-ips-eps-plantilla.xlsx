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ía" state="visible" r:id="rId4"/>
    <sheet sheetId="2" name="Ingreso de valores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<sst xmlns="http://schemas.openxmlformats.org/spreadsheetml/2006/main" count="121" uniqueCount="112">
  <si>
    <t>PLANTILLA DESCARGABLE</t>
  </si>
  <si>
    <t>Nota Técnica de Proveedor de Salud a EPS</t>
  </si>
  <si>
    <t>Elementos clave para estructurar una nota técnica de IPS y otros prestadores hacia una EPS — guía de referencia. Diligencie sus valores en la hoja "Ingreso de valores"; la hoja "Resumen" calcula los indicadores automáticamente a partir de esos valores.</t>
  </si>
  <si>
    <t>Elaborada por Fabian Dávila Ramírez, MD, MBA, PhD — a partir de la síntesis del XXI Congreso Nacional de Salud 2026 (sesión 22, "Modelación contractual avanzada para IPS").</t>
  </si>
  <si>
    <t>Explorador interactivo: https://fadavilar.github.io/xxi-congreso-nacional-salud-2026/  ·  Licencia CC BY 4.0 — puede adaptarse y reutilizarse citando al autor.</t>
  </si>
  <si>
    <t>#</t>
  </si>
  <si>
    <t>Elemento</t>
  </si>
  <si>
    <t>Qué considerar</t>
  </si>
  <si>
    <t>Sesión del congreso</t>
  </si>
  <si>
    <t>Identificación y alcance</t>
  </si>
  <si>
    <t>Prestador, línea de servicio, EPS destinataria, vigencia y población objetivo cubierta.</t>
  </si>
  <si>
    <t>Sesión 22</t>
  </si>
  <si>
    <t>Marco tarifario de referencia</t>
  </si>
  <si>
    <t>Manual tarifario aplicado y brecha frente a la Clasificación Única de Procedimientos en Salud (CUPS).</t>
  </si>
  <si>
    <t>Sesiones 14 y 22</t>
  </si>
  <si>
    <t>Estructura de costos</t>
  </si>
  <si>
    <t>Costos directos (personal, insumos), indirectos, fijos y variables — base para negociar sobre costos reales, no tarifas históricas.</t>
  </si>
  <si>
    <t>Supuestos de utilización</t>
  </si>
  <si>
    <t>Frecuencia de uso esperada, base epidemiológica, estacionalidad y fuente de los datos históricos.</t>
  </si>
  <si>
    <t>Sesiones 5 y 22</t>
  </si>
  <si>
    <t>Modelo de pago propuesto</t>
  </si>
  <si>
    <t>Modalidad (capitación, evento, paquete, resultado), tarifa, ajuste por IPC y periodicidad de revisión.</t>
  </si>
  <si>
    <t>Riesgo compartido</t>
  </si>
  <si>
    <t>Corredor de riesgo, techo (stop-loss), piso de garantía y responsabilidad por desviaciones.</t>
  </si>
  <si>
    <t>Indicadores de calidad y resultado</t>
  </si>
  <si>
    <t>Métricas de calidad asociadas al pago, metas de oportunidad e incentivos o penalidades.</t>
  </si>
  <si>
    <t>Anexos y soportes</t>
  </si>
  <si>
    <t>Histórico de utilización, benchmarks, memoria de cálculo y soportes normativos.</t>
  </si>
  <si>
    <t>Esta plantilla no es un documento oficial ni un formato exigido por ninguna EPS o entidad regulatoria: es una guía práctica de los elementos que, según la evidencia sintetizada del congreso, una nota técnica sólida debería considerar.</t>
  </si>
  <si>
    <t>Los valores en azul son un ejemplo ilustrativo (una IPS de nivel II en consulta externa especializada) — reemplácelos por los de su propio contrato o servicio. La hoja "Resumen" recalcula sola al cambiarlos.</t>
  </si>
  <si>
    <t>1. Identificación y alcance</t>
  </si>
  <si>
    <t>IPS / prestador y nivel de complejidad</t>
  </si>
  <si>
    <t>IPS Ejemplo S.A.S. (nivel II)</t>
  </si>
  <si>
    <t>Línea de servicio o especialidad</t>
  </si>
  <si>
    <t>Consulta externa especializada</t>
  </si>
  <si>
    <t>EPS o pagador destinatario</t>
  </si>
  <si>
    <t>EPS Ejemplo</t>
  </si>
  <si>
    <t>Vigencia y período cubierto</t>
  </si>
  <si>
    <t>Enero–diciembre 2027</t>
  </si>
  <si>
    <t>Población objetivo (afiliados cubiertos)</t>
  </si>
  <si>
    <t>2. Marco tarifario de referencia</t>
  </si>
  <si>
    <t>Manual tarifario aplicado</t>
  </si>
  <si>
    <t>Tarifario propio EPS + SOAT como referencia</t>
  </si>
  <si>
    <t>Códigos CUPS cubiertos vs. no cubiertos</t>
  </si>
  <si>
    <t>180 de 220 procedimientos frecuentes (≈82%)</t>
  </si>
  <si>
    <t>Ajustes pactados frente al período anterior</t>
  </si>
  <si>
    <t>IPC + 1,5%</t>
  </si>
  <si>
    <t>Justificación de desviación frente a tarifas históricas</t>
  </si>
  <si>
    <t>Servicios de alta complejidad sin tarifa SOAT equivalente</t>
  </si>
  <si>
    <t>3. Estructura de costos (mensual)</t>
  </si>
  <si>
    <t>Costos directos — personal asistencial (COP/mes)</t>
  </si>
  <si>
    <t>Costos directos — insumos y medicamentos (COP/mes)</t>
  </si>
  <si>
    <t>Costos indirectos / overhead (COP/mes)</t>
  </si>
  <si>
    <t>Costos fijos (COP/mes)</t>
  </si>
  <si>
    <t>Costos variables (COP/mes)</t>
  </si>
  <si>
    <t>4. Supuestos de utilización</t>
  </si>
  <si>
    <t>Frecuencia de uso esperada (consultas/afiliado/año)</t>
  </si>
  <si>
    <t>Base epidemiológica o demanda proyectada</t>
  </si>
  <si>
    <t>Prevalencia regional estimada, consulta externa especializada</t>
  </si>
  <si>
    <t>Estacionalidad o variabilidad esperada</t>
  </si>
  <si>
    <t>+15% en enero–marzo</t>
  </si>
  <si>
    <t>Fuente de los datos históricos utilizados</t>
  </si>
  <si>
    <t>Histórico propio de facturación 2024–2026</t>
  </si>
  <si>
    <t>5. Modelo de pago propuesto</t>
  </si>
  <si>
    <t>Modalidad (capitación, evento, paquete, resultado)</t>
  </si>
  <si>
    <t>Pago por evento</t>
  </si>
  <si>
    <t>Tarifa propuesta por evento (COP)</t>
  </si>
  <si>
    <t>Volumen mensual esperado (eventos)</t>
  </si>
  <si>
    <t>Ajuste por inflación o IPC</t>
  </si>
  <si>
    <t>Anual, según IPC certificado DANE</t>
  </si>
  <si>
    <t>Periodicidad de revisión tarifaria</t>
  </si>
  <si>
    <t>Anual</t>
  </si>
  <si>
    <t>6. Riesgo compartido</t>
  </si>
  <si>
    <t>Corredor de riesgo (risk corridor)</t>
  </si>
  <si>
    <t>±10% sobre el volumen esperado</t>
  </si>
  <si>
    <t>Techo (stop-loss, COP/mes)</t>
  </si>
  <si>
    <t>Piso de garantía (COP/mes)</t>
  </si>
  <si>
    <t>Responsabilidad por desviaciones</t>
  </si>
  <si>
    <t>Compartida 50/50 sobre el exceso frente al corredor</t>
  </si>
  <si>
    <t>7. Indicadores de calidad y resultado</t>
  </si>
  <si>
    <t>Indicador de calidad asociado al pago</t>
  </si>
  <si>
    <t>Oportunidad de cita &lt; 5 días hábiles</t>
  </si>
  <si>
    <t>Meta de oportunidad de atención</t>
  </si>
  <si>
    <t>95% de citas dentro del plazo</t>
  </si>
  <si>
    <t>Indicador de satisfacción del usuario</t>
  </si>
  <si>
    <t>NPS ≥ 70</t>
  </si>
  <si>
    <t>Incentivo o penalidad por cumplimiento</t>
  </si>
  <si>
    <t>±3% de la tarifa según cumplimiento de metas</t>
  </si>
  <si>
    <t>8. Anexos y soportes</t>
  </si>
  <si>
    <t>Histórico de utilización o facturación (12–24 meses)</t>
  </si>
  <si>
    <t>Adjunto: histórico_facturación_2024-2026.xlsx</t>
  </si>
  <si>
    <t>Benchmarks de mercado o de la red</t>
  </si>
  <si>
    <t>Adjunto: benchmark_regional_2026.pdf</t>
  </si>
  <si>
    <t>Memoria de cálculo / hoja de costeo</t>
  </si>
  <si>
    <t>Ver hoja "Resumen"</t>
  </si>
  <si>
    <t>Soportes normativos citados</t>
  </si>
  <si>
    <t>Resolución 2706 de 2025; Circular 022 de 2026</t>
  </si>
  <si>
    <t>Calculado automáticamente a partir de la hoja "Ingreso de valores". Las celdas grises tienen fórmula — no las sobrescriba; edite los valores en "Ingreso de valores" y este resumen se actualiza solo.</t>
  </si>
  <si>
    <t>Identificación (tomada de "Ingreso de valores")</t>
  </si>
  <si>
    <t>Población objetivo (afiliados)</t>
  </si>
  <si>
    <t>Costos mensuales</t>
  </si>
  <si>
    <t>Costo total mensual</t>
  </si>
  <si>
    <t>Costo por evento</t>
  </si>
  <si>
    <t>Ingresos e indicadores del modelo de pago propuesto</t>
  </si>
  <si>
    <t>Ingreso mensual proyectado (volumen × tarifa)</t>
  </si>
  <si>
    <t>Margen mensual (ingreso − costo)</t>
  </si>
  <si>
    <t>Margen por evento (tarifa − costo por evento)</t>
  </si>
  <si>
    <t>Margen (% del ingreso)</t>
  </si>
  <si>
    <t>Punto de equilibrio (break-even)</t>
  </si>
  <si>
    <t>Volumen de equilibrio (eventos/mes)</t>
  </si>
  <si>
    <t>Estado frente al volumen esperado</t>
  </si>
  <si>
    <t>Cálculo ilustrativo con la fórmula más simple posible (ingreso por evento menos costo por evento). No sustituye un modelo actuarial completo, y no incorpora impuestos, provisiones ni el corredor de riesgo definido en "Ingreso de valores" — hoja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</si>
</sst>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0.0%"/>
  </numFmts>
  <fonts count="11" x14ac:knownFonts="1">
    <font>
      <color theme="1"/>
      <family val="2"/>
      <scheme val="minor"/>
      <sz val="11"/>
      <name val="Calibri"/>
    </font>
    <font>
      <b/>
      <color rgb="FF0F5C66"/>
      <sz val="10"/>
    </font>
    <font>
      <b/>
      <sz val="18"/>
    </font>
    <font>
      <color rgb="FF57667A"/>
      <sz val="11"/>
    </font>
    <font>
      <color rgb="FF57667A"/>
      <sz val="9.5"/>
    </font>
    <font>
      <i/>
      <color rgb="FF0F5C66"/>
      <sz val="9"/>
    </font>
    <font>
      <b/>
      <color rgb="FF0F5C66"/>
    </font>
    <font>
      <i/>
      <color rgb="FF57667A"/>
      <sz val="9.5"/>
    </font>
    <font>
      <color rgb="FF57667A"/>
      <sz val="10"/>
    </font>
    <font>
      <b/>
      <color rgb="FFFFFFFF"/>
      <sz val="12"/>
    </font>
    <font>
      <i/>
      <color rgb="FF1B6FA8"/>
    </font>
  </fonts>
  <fills count="6">
    <fill>
      <patternFill patternType="none"/>
    </fill>
    <fill>
      <patternFill patternType="gray125"/>
    </fill>
    <fill>
      <patternFill patternType="solid">
        <fgColor rgb="FFE3F1F2"/>
      </patternFill>
    </fill>
    <fill>
      <patternFill patternType="solid">
        <fgColor rgb="FF0F5C66"/>
      </patternFill>
    </fill>
    <fill>
      <patternFill patternType="solid">
        <fgColor rgb="FFEAF2FA"/>
      </patternFill>
    </fill>
    <fill>
      <patternFill patternType="solid">
        <fgColor rgb="FFF1F4F8"/>
      </patternFill>
    </fill>
  </fills>
  <borders count="2">
    <border>
      <left/>
      <right/>
      <top/>
      <bottom/>
      <diagonal/>
    </border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3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left" vertical="top" wrapText="1"/>
    </xf>
    <xf numFmtId="3" fontId="10" fillId="4" borderId="1" xfId="0" applyNumberFormat="1" applyFont="1" applyFill="1" applyBorder="1" applyAlignment="1">
      <alignment horizontal="right" vertical="top" wrapText="1"/>
    </xf>
    <xf numFmtId="164" fontId="10" fillId="4" borderId="1" xfId="0" applyNumberFormat="1" applyFont="1" applyFill="1" applyBorder="1" applyAlignment="1">
      <alignment horizontal="right" vertical="top" wrapText="1"/>
    </xf>
    <xf numFmtId="2" fontId="10" fillId="4" borderId="1" xfId="0" applyNumberFormat="1" applyFont="1" applyFill="1" applyBorder="1" applyAlignment="1">
      <alignment horizontal="right" vertical="top" wrapText="1"/>
    </xf>
    <xf numFmtId="0" fontId="0" fillId="5" borderId="1" xfId="0" applyFill="1" applyBorder="1" applyAlignment="1">
      <alignment vertical="top" wrapText="1"/>
    </xf>
    <xf numFmtId="164" fontId="6" fillId="5" borderId="1" xfId="0" applyNumberFormat="1" applyFont="1" applyFill="1" applyBorder="1" applyAlignment="1">
      <alignment horizontal="right" vertical="top"/>
    </xf>
    <xf numFmtId="165" fontId="6" fillId="5" borderId="1" xfId="0" applyNumberFormat="1" applyFont="1" applyFill="1" applyBorder="1" applyAlignment="1">
      <alignment horizontal="right" vertical="top"/>
    </xf>
    <xf numFmtId="3" fontId="6" fillId="5" borderId="1" xfId="0" applyNumberFormat="1" applyFont="1" applyFill="1" applyBorder="1" applyAlignment="1">
      <alignment horizontal="right" vertical="top"/>
    </xf>
    <xf numFmtId="0" fontId="6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34" customWidth="1"/>
    <col min="3" max="3" width="60" customWidth="1"/>
    <col min="4" max="4" width="14" customWidth="1"/>
  </cols>
  <sheetData>
    <row r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3"/>
      <c r="C4" s="3"/>
      <c r="D4" s="3"/>
    </row>
    <row r="6" ht="28" customHeight="1" spans="1:4" x14ac:dyDescent="0.25">
      <c r="A6" s="4" t="s">
        <v>3</v>
      </c>
      <c r="B6" s="4"/>
      <c r="C6" s="4"/>
      <c r="D6" s="4"/>
    </row>
    <row r="7" ht="22" customHeight="1" spans="1:4" x14ac:dyDescent="0.25">
      <c r="A7" s="5" t="s">
        <v>4</v>
      </c>
      <c r="B7" s="5"/>
      <c r="C7" s="5"/>
      <c r="D7" s="5"/>
    </row>
    <row r="9" ht="20" customHeight="1" spans="1:4" x14ac:dyDescent="0.25">
      <c r="A9" s="6" t="s">
        <v>5</v>
      </c>
      <c r="B9" s="6" t="s">
        <v>6</v>
      </c>
      <c r="C9" s="6" t="s">
        <v>7</v>
      </c>
      <c r="D9" s="6" t="s">
        <v>8</v>
      </c>
    </row>
    <row r="10" spans="1:4" x14ac:dyDescent="0.25">
      <c r="A10" s="7">
        <v>1</v>
      </c>
      <c r="B10" s="8" t="s">
        <v>9</v>
      </c>
      <c r="C10" s="8" t="s">
        <v>10</v>
      </c>
      <c r="D10" s="8" t="s">
        <v>11</v>
      </c>
    </row>
    <row r="11" spans="1:4" x14ac:dyDescent="0.25">
      <c r="A11" s="7">
        <v>2</v>
      </c>
      <c r="B11" s="8" t="s">
        <v>12</v>
      </c>
      <c r="C11" s="8" t="s">
        <v>13</v>
      </c>
      <c r="D11" s="8" t="s">
        <v>14</v>
      </c>
    </row>
    <row r="12" spans="1:4" x14ac:dyDescent="0.25">
      <c r="A12" s="7">
        <v>3</v>
      </c>
      <c r="B12" s="8" t="s">
        <v>15</v>
      </c>
      <c r="C12" s="8" t="s">
        <v>16</v>
      </c>
      <c r="D12" s="8" t="s">
        <v>14</v>
      </c>
    </row>
    <row r="13" spans="1:4" x14ac:dyDescent="0.25">
      <c r="A13" s="7">
        <v>4</v>
      </c>
      <c r="B13" s="8" t="s">
        <v>17</v>
      </c>
      <c r="C13" s="8" t="s">
        <v>18</v>
      </c>
      <c r="D13" s="8" t="s">
        <v>19</v>
      </c>
    </row>
    <row r="14" spans="1:4" x14ac:dyDescent="0.25">
      <c r="A14" s="7">
        <v>5</v>
      </c>
      <c r="B14" s="8" t="s">
        <v>20</v>
      </c>
      <c r="C14" s="8" t="s">
        <v>21</v>
      </c>
      <c r="D14" s="8" t="s">
        <v>11</v>
      </c>
    </row>
    <row r="15" spans="1:4" x14ac:dyDescent="0.25">
      <c r="A15" s="7">
        <v>6</v>
      </c>
      <c r="B15" s="8" t="s">
        <v>22</v>
      </c>
      <c r="C15" s="8" t="s">
        <v>23</v>
      </c>
      <c r="D15" s="8" t="s">
        <v>11</v>
      </c>
    </row>
    <row r="16" spans="1:4" x14ac:dyDescent="0.25">
      <c r="A16" s="7">
        <v>7</v>
      </c>
      <c r="B16" s="8" t="s">
        <v>24</v>
      </c>
      <c r="C16" s="8" t="s">
        <v>25</v>
      </c>
      <c r="D16" s="8" t="s">
        <v>11</v>
      </c>
    </row>
    <row r="17" spans="1:4" x14ac:dyDescent="0.25">
      <c r="A17" s="7">
        <v>8</v>
      </c>
      <c r="B17" s="8" t="s">
        <v>26</v>
      </c>
      <c r="C17" s="8" t="s">
        <v>27</v>
      </c>
      <c r="D17" s="8" t="s">
        <v>11</v>
      </c>
    </row>
    <row r="19" ht="40" customHeight="1" spans="1:4" x14ac:dyDescent="0.25">
      <c r="A19" s="9" t="s">
        <v>28</v>
      </c>
      <c r="B19" s="9"/>
      <c r="C19" s="9"/>
      <c r="D19" s="9"/>
    </row>
  </sheetData>
  <mergeCells count="6">
    <mergeCell ref="A1:D1"/>
    <mergeCell ref="A2:D2"/>
    <mergeCell ref="A4:D4"/>
    <mergeCell ref="A6:D6"/>
    <mergeCell ref="A7:D7"/>
    <mergeCell ref="A19:D19"/>
  </mergeCells>
  <pageMargins left="0.4" right="0.4" top="0.5" bottom="0.5" header="0.2" footer="0.2"/>
  <pageSetup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5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34" customWidth="1"/>
  </cols>
  <sheetData>
    <row r="1" spans="1:2" x14ac:dyDescent="0.25">
      <c r="A1" s="1" t="s">
        <v>0</v>
      </c>
      <c r="B1" s="1"/>
    </row>
    <row r="2" ht="26" customHeight="1" spans="1:2" x14ac:dyDescent="0.25">
      <c r="A2" s="2" t="s">
        <v>1</v>
      </c>
      <c r="B2" s="2"/>
    </row>
    <row r="4" spans="1:2" x14ac:dyDescent="0.25">
      <c r="A4" s="10" t="s">
        <v>29</v>
      </c>
      <c r="B4" s="10"/>
    </row>
    <row r="6" ht="20" customHeight="1" spans="1:2" x14ac:dyDescent="0.25">
      <c r="A6" s="11" t="s">
        <v>30</v>
      </c>
      <c r="B6" s="11"/>
    </row>
    <row r="7" spans="1:2" x14ac:dyDescent="0.25">
      <c r="A7" s="8" t="s">
        <v>31</v>
      </c>
      <c r="B7" s="12" t="s">
        <v>32</v>
      </c>
    </row>
    <row r="8" spans="1:2" x14ac:dyDescent="0.25">
      <c r="A8" s="8" t="s">
        <v>33</v>
      </c>
      <c r="B8" s="12" t="s">
        <v>34</v>
      </c>
    </row>
    <row r="9" spans="1:2" x14ac:dyDescent="0.25">
      <c r="A9" s="8" t="s">
        <v>35</v>
      </c>
      <c r="B9" s="12" t="s">
        <v>36</v>
      </c>
    </row>
    <row r="10" spans="1:2" x14ac:dyDescent="0.25">
      <c r="A10" s="8" t="s">
        <v>37</v>
      </c>
      <c r="B10" s="12" t="s">
        <v>38</v>
      </c>
    </row>
    <row r="11" spans="1:2" x14ac:dyDescent="0.25">
      <c r="A11" s="8" t="s">
        <v>39</v>
      </c>
      <c r="B11" s="13">
        <v>15000</v>
      </c>
    </row>
    <row r="13" ht="20" customHeight="1" spans="1:2" x14ac:dyDescent="0.25">
      <c r="A13" s="11" t="s">
        <v>40</v>
      </c>
      <c r="B13" s="11"/>
    </row>
    <row r="14" spans="1:2" x14ac:dyDescent="0.25">
      <c r="A14" s="8" t="s">
        <v>41</v>
      </c>
      <c r="B14" s="12" t="s">
        <v>42</v>
      </c>
    </row>
    <row r="15" spans="1:2" x14ac:dyDescent="0.25">
      <c r="A15" s="8" t="s">
        <v>43</v>
      </c>
      <c r="B15" s="12" t="s">
        <v>44</v>
      </c>
    </row>
    <row r="16" spans="1:2" x14ac:dyDescent="0.25">
      <c r="A16" s="8" t="s">
        <v>45</v>
      </c>
      <c r="B16" s="12" t="s">
        <v>46</v>
      </c>
    </row>
    <row r="17" spans="1:2" x14ac:dyDescent="0.25">
      <c r="A17" s="8" t="s">
        <v>47</v>
      </c>
      <c r="B17" s="12" t="s">
        <v>48</v>
      </c>
    </row>
    <row r="19" ht="20" customHeight="1" spans="1:2" x14ac:dyDescent="0.25">
      <c r="A19" s="11" t="s">
        <v>49</v>
      </c>
      <c r="B19" s="11"/>
    </row>
    <row r="20" spans="1:2" x14ac:dyDescent="0.25">
      <c r="A20" s="8" t="s">
        <v>50</v>
      </c>
      <c r="B20" s="14">
        <v>120000000</v>
      </c>
    </row>
    <row r="21" spans="1:2" x14ac:dyDescent="0.25">
      <c r="A21" s="8" t="s">
        <v>51</v>
      </c>
      <c r="B21" s="14">
        <v>40000000</v>
      </c>
    </row>
    <row r="22" spans="1:2" x14ac:dyDescent="0.25">
      <c r="A22" s="8" t="s">
        <v>52</v>
      </c>
      <c r="B22" s="14">
        <v>25000000</v>
      </c>
    </row>
    <row r="23" spans="1:2" x14ac:dyDescent="0.25">
      <c r="A23" s="8" t="s">
        <v>53</v>
      </c>
      <c r="B23" s="14">
        <v>18000000</v>
      </c>
    </row>
    <row r="24" spans="1:2" x14ac:dyDescent="0.25">
      <c r="A24" s="8" t="s">
        <v>54</v>
      </c>
      <c r="B24" s="14">
        <v>12000000</v>
      </c>
    </row>
    <row r="26" ht="20" customHeight="1" spans="1:2" x14ac:dyDescent="0.25">
      <c r="A26" s="11" t="s">
        <v>55</v>
      </c>
      <c r="B26" s="11"/>
    </row>
    <row r="27" spans="1:2" x14ac:dyDescent="0.25">
      <c r="A27" s="8" t="s">
        <v>56</v>
      </c>
      <c r="B27" s="15">
        <v>0.8</v>
      </c>
    </row>
    <row r="28" spans="1:2" x14ac:dyDescent="0.25">
      <c r="A28" s="8" t="s">
        <v>57</v>
      </c>
      <c r="B28" s="12" t="s">
        <v>58</v>
      </c>
    </row>
    <row r="29" spans="1:2" x14ac:dyDescent="0.25">
      <c r="A29" s="8" t="s">
        <v>59</v>
      </c>
      <c r="B29" s="12" t="s">
        <v>60</v>
      </c>
    </row>
    <row r="30" spans="1:2" x14ac:dyDescent="0.25">
      <c r="A30" s="8" t="s">
        <v>61</v>
      </c>
      <c r="B30" s="12" t="s">
        <v>62</v>
      </c>
    </row>
    <row r="32" ht="20" customHeight="1" spans="1:2" x14ac:dyDescent="0.25">
      <c r="A32" s="11" t="s">
        <v>63</v>
      </c>
      <c r="B32" s="11"/>
    </row>
    <row r="33" spans="1:2" x14ac:dyDescent="0.25">
      <c r="A33" s="8" t="s">
        <v>64</v>
      </c>
      <c r="B33" s="12" t="s">
        <v>65</v>
      </c>
    </row>
    <row r="34" spans="1:2" x14ac:dyDescent="0.25">
      <c r="A34" s="8" t="s">
        <v>66</v>
      </c>
      <c r="B34" s="14">
        <v>85000</v>
      </c>
    </row>
    <row r="35" spans="1:2" x14ac:dyDescent="0.25">
      <c r="A35" s="8" t="s">
        <v>67</v>
      </c>
      <c r="B35" s="13">
        <v>1000</v>
      </c>
    </row>
    <row r="36" spans="1:2" x14ac:dyDescent="0.25">
      <c r="A36" s="8" t="s">
        <v>68</v>
      </c>
      <c r="B36" s="12" t="s">
        <v>69</v>
      </c>
    </row>
    <row r="37" spans="1:2" x14ac:dyDescent="0.25">
      <c r="A37" s="8" t="s">
        <v>70</v>
      </c>
      <c r="B37" s="12" t="s">
        <v>71</v>
      </c>
    </row>
    <row r="39" ht="20" customHeight="1" spans="1:2" x14ac:dyDescent="0.25">
      <c r="A39" s="11" t="s">
        <v>72</v>
      </c>
      <c r="B39" s="11"/>
    </row>
    <row r="40" spans="1:2" x14ac:dyDescent="0.25">
      <c r="A40" s="8" t="s">
        <v>73</v>
      </c>
      <c r="B40" s="12" t="s">
        <v>74</v>
      </c>
    </row>
    <row r="41" spans="1:2" x14ac:dyDescent="0.25">
      <c r="A41" s="8" t="s">
        <v>75</v>
      </c>
      <c r="B41" s="14">
        <v>250000000</v>
      </c>
    </row>
    <row r="42" spans="1:2" x14ac:dyDescent="0.25">
      <c r="A42" s="8" t="s">
        <v>76</v>
      </c>
      <c r="B42" s="14">
        <v>150000000</v>
      </c>
    </row>
    <row r="43" spans="1:2" x14ac:dyDescent="0.25">
      <c r="A43" s="8" t="s">
        <v>77</v>
      </c>
      <c r="B43" s="12" t="s">
        <v>78</v>
      </c>
    </row>
    <row r="45" ht="20" customHeight="1" spans="1:2" x14ac:dyDescent="0.25">
      <c r="A45" s="11" t="s">
        <v>79</v>
      </c>
      <c r="B45" s="11"/>
    </row>
    <row r="46" spans="1:2" x14ac:dyDescent="0.25">
      <c r="A46" s="8" t="s">
        <v>80</v>
      </c>
      <c r="B46" s="12" t="s">
        <v>81</v>
      </c>
    </row>
    <row r="47" spans="1:2" x14ac:dyDescent="0.25">
      <c r="A47" s="8" t="s">
        <v>82</v>
      </c>
      <c r="B47" s="12" t="s">
        <v>83</v>
      </c>
    </row>
    <row r="48" spans="1:2" x14ac:dyDescent="0.25">
      <c r="A48" s="8" t="s">
        <v>84</v>
      </c>
      <c r="B48" s="12" t="s">
        <v>85</v>
      </c>
    </row>
    <row r="49" spans="1:2" x14ac:dyDescent="0.25">
      <c r="A49" s="8" t="s">
        <v>86</v>
      </c>
      <c r="B49" s="12" t="s">
        <v>87</v>
      </c>
    </row>
    <row r="51" ht="20" customHeight="1" spans="1:2" x14ac:dyDescent="0.25">
      <c r="A51" s="11" t="s">
        <v>88</v>
      </c>
      <c r="B51" s="11"/>
    </row>
    <row r="52" spans="1:2" x14ac:dyDescent="0.25">
      <c r="A52" s="8" t="s">
        <v>89</v>
      </c>
      <c r="B52" s="12" t="s">
        <v>90</v>
      </c>
    </row>
    <row r="53" spans="1:2" x14ac:dyDescent="0.25">
      <c r="A53" s="8" t="s">
        <v>91</v>
      </c>
      <c r="B53" s="12" t="s">
        <v>92</v>
      </c>
    </row>
    <row r="54" spans="1:2" x14ac:dyDescent="0.25">
      <c r="A54" s="8" t="s">
        <v>93</v>
      </c>
      <c r="B54" s="12" t="s">
        <v>94</v>
      </c>
    </row>
    <row r="55" spans="1:2" x14ac:dyDescent="0.25">
      <c r="A55" s="8" t="s">
        <v>95</v>
      </c>
      <c r="B55" s="12" t="s">
        <v>96</v>
      </c>
    </row>
  </sheetData>
  <mergeCells count="11">
    <mergeCell ref="A1:B1"/>
    <mergeCell ref="A2:B2"/>
    <mergeCell ref="A4:B4"/>
    <mergeCell ref="A6:B6"/>
    <mergeCell ref="A13:B13"/>
    <mergeCell ref="A19:B19"/>
    <mergeCell ref="A26:B26"/>
    <mergeCell ref="A32:B32"/>
    <mergeCell ref="A39:B39"/>
    <mergeCell ref="A45:B45"/>
    <mergeCell ref="A51:B51"/>
  </mergeCells>
  <pageMargins left="0.4" right="0.4" top="0.5" bottom="0.5" header="0.2" footer="0.2"/>
  <pageSetup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3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24" customWidth="1"/>
  </cols>
  <sheetData>
    <row r="1" spans="1:2" x14ac:dyDescent="0.25">
      <c r="A1" s="1" t="s">
        <v>0</v>
      </c>
      <c r="B1" s="1"/>
    </row>
    <row r="2" ht="26" customHeight="1" spans="1:2" x14ac:dyDescent="0.25">
      <c r="A2" s="2" t="s">
        <v>1</v>
      </c>
      <c r="B2" s="2"/>
    </row>
    <row r="4" spans="1:2" x14ac:dyDescent="0.25">
      <c r="A4" s="10" t="s">
        <v>97</v>
      </c>
      <c r="B4" s="10"/>
    </row>
    <row r="6" ht="20" customHeight="1" spans="1:2" x14ac:dyDescent="0.25">
      <c r="A6" s="11" t="s">
        <v>98</v>
      </c>
      <c r="B6" s="11"/>
    </row>
    <row r="7" spans="1:2" x14ac:dyDescent="0.25">
      <c r="A7" s="8" t="s">
        <v>99</v>
      </c>
      <c r="B7" s="16">
        <f>'Ingreso de valores'!B11</f>
      </c>
    </row>
    <row r="9" ht="20" customHeight="1" spans="1:2" x14ac:dyDescent="0.25">
      <c r="A9" s="11" t="s">
        <v>100</v>
      </c>
      <c r="B9" s="11"/>
    </row>
    <row r="10" spans="1:2" x14ac:dyDescent="0.25">
      <c r="A10" s="8" t="s">
        <v>101</v>
      </c>
      <c r="B10" s="17">
        <f>'Ingreso de valores'!B20+'Ingreso de valores'!B21+'Ingreso de valores'!B22+'Ingreso de valores'!B23+'Ingreso de valores'!B24</f>
      </c>
    </row>
    <row r="11" spans="1:2" x14ac:dyDescent="0.25">
      <c r="A11" s="8" t="s">
        <v>102</v>
      </c>
      <c r="B11" s="17">
        <f>B10/'Ingreso de valores'!B35</f>
      </c>
    </row>
    <row r="13" ht="20" customHeight="1" spans="1:2" x14ac:dyDescent="0.25">
      <c r="A13" s="11" t="s">
        <v>103</v>
      </c>
      <c r="B13" s="11"/>
    </row>
    <row r="14" spans="1:2" x14ac:dyDescent="0.25">
      <c r="A14" s="8" t="s">
        <v>104</v>
      </c>
      <c r="B14" s="17">
        <f>'Ingreso de valores'!B35*'Ingreso de valores'!B34</f>
      </c>
    </row>
    <row r="15" spans="1:2" x14ac:dyDescent="0.25">
      <c r="A15" s="8" t="s">
        <v>105</v>
      </c>
      <c r="B15" s="17">
        <f>B14-B10</f>
      </c>
    </row>
    <row r="16" spans="1:2" x14ac:dyDescent="0.25">
      <c r="A16" s="8" t="s">
        <v>106</v>
      </c>
      <c r="B16" s="17">
        <f>'Ingreso de valores'!B34-B11</f>
      </c>
    </row>
    <row r="17" spans="1:2" x14ac:dyDescent="0.25">
      <c r="A17" s="8" t="s">
        <v>107</v>
      </c>
      <c r="B17" s="18">
        <f>B15/B14</f>
      </c>
    </row>
    <row r="19" ht="20" customHeight="1" spans="1:2" x14ac:dyDescent="0.25">
      <c r="A19" s="11" t="s">
        <v>108</v>
      </c>
      <c r="B19" s="11"/>
    </row>
    <row r="20" spans="1:2" x14ac:dyDescent="0.25">
      <c r="A20" s="8" t="s">
        <v>109</v>
      </c>
      <c r="B20" s="19">
        <f>B10/'Ingreso de valores'!B34</f>
      </c>
    </row>
    <row r="21" spans="1:2" x14ac:dyDescent="0.25">
      <c r="A21" s="8" t="s">
        <v>110</v>
      </c>
      <c r="B21" s="20">
        <f>IF('Ingreso de valores'!B35&gt;=B20,"Por encima del punto de equilibrio","Por debajo del punto de equilibrio")</f>
      </c>
    </row>
    <row r="23" ht="40" customHeight="1" spans="1:2" x14ac:dyDescent="0.25">
      <c r="A23" s="9" t="s">
        <v>111</v>
      </c>
      <c r="B23" s="9"/>
    </row>
  </sheetData>
  <mergeCells count="8">
    <mergeCell ref="A1:B1"/>
    <mergeCell ref="A2:B2"/>
    <mergeCell ref="A4:B4"/>
    <mergeCell ref="A6:B6"/>
    <mergeCell ref="A9:B9"/>
    <mergeCell ref="A13:B13"/>
    <mergeCell ref="A19:B19"/>
    <mergeCell ref="A23:B23"/>
  </mergeCells>
  <pageMargins left="0.4" right="0.4" top="0.5" bottom="0.5" header="0.2" footer="0.2"/>
  <pageSetup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Guía</vt:lpstr>
      <vt:lpstr>Ingreso de valores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Dávila Ramírez</dc:creator>
  <dc:title>Plantilla — Nota Técnica de Proveedor de Salud a EPS</dc:title>
  <dc:subject/>
  <dc:description/>
  <cp:keywords/>
  <cp:category/>
  <cp:lastModifiedBy>Unknown</cp:lastModifiedBy>
  <dcterms:created xsi:type="dcterms:W3CDTF">2026-09-15T21:28:21Z</dcterms:created>
  <dcterms:modified xsi:type="dcterms:W3CDTF">2026-09-15T21:28:21Z</dcterms:modified>
</cp:coreProperties>
</file>