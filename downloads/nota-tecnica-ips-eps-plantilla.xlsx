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Guía" state="visible" r:id="rId4"/>
    <sheet sheetId="2" name="Ingreso de valores" state="visible" r:id="rId5"/>
    <sheet sheetId="3" name="Resumen" state="visible" r:id="rId6"/>
  </sheets>
  <calcPr calcId="171027"/>
</workbook>
</file>

<file path=xl/comments2.xml><?xml version="1.0" encoding="utf-8"?>
<comments xmlns="http://schemas.openxmlformats.org/spreadsheetml/2006/main">
  <authors>
    <author>Author</author>
  </authors>
  <commentList>
    <comment ref="B13" authorId="0">
      <text>
        <r>
          <t>Población objeto total ≠ población susceptible. Ej. (webinar Jennifer Ortiz, MinSalud): 100.000 afiliados por cápita, pero una consulta de obstetricia solo aplica a la población susceptible (mujeres en edad fértil con intención reproductiva o gestantes) dentro de esos 100.000. Mantenga esta población con baja variabilidad: los cambios frecuentes son la principal causa de desviaciones frente a lo proyectado.</t>
        </r>
      </text>
    </comment>
    <comment ref="B14" authorId="0">
      <text>
        <r>
          <t>Equipo mínimo recomendado por el Ministerio de Salud (webinar Jennifer Ortiz, autora de la metodología del Decreto 441/2022): un epidemiólogo (parámetros poblacionales), un economista/financiero (costeo) y un ingeniero (parametrización y seguimiento en el sistema de información). El responsable legal de la nota técnica es quien firma el acuerdo de voluntades.</t>
        </r>
      </text>
    </comment>
    <comment ref="B17" authorId="0">
      <text>
        <r>
          <t>"No se deberían usar tarifarios" como base del costeo (webinar Jennifer Ortiz, MinSalud): el SOAT tiene una finalidad específica distinta, el ISS 2001 no se actualiza desde su creación, y ninguno refleja las condiciones reales de operación de este prestador en este territorio. Úselos solo como contraste, nunca como fuente principal del valor.</t>
        </r>
      </text>
    </comment>
    <comment ref="B24" authorId="0">
      <text>
        <r>
          <t>Use el costo-tiempo real del talento humano contratado (salario + parafiscales + prestaciones), no el número de atenciones esperadas dividido de forma ingenua — el webinar de MinSalud da el ejemplo de un profesional con capacidad para 400 consultas/mes del que solo se agendan 40: esa ineficiencia de agendamiento no debe trasladarse al costo unitario del servicio.</t>
        </r>
      </text>
    </comment>
    <comment ref="B28" authorId="0">
      <text>
        <r>
          <t>Si este prestador opera en más de una zona (urbana/rural/dispersa), la metodología oficial recomienda un "costo medio por usuario" ponderado por la proporción de población en cada zona, en vez de aplicar un único costo o un tarifario ajeno a cada territorio (webinar Jennifer Ortiz, MinSalud). La hoja "Resumen" calcula el costo medio por afiliado a partir de estos costos totales.</t>
        </r>
      </text>
    </comment>
    <comment ref="B31" authorId="0">
      <text>
        <r>
          <t>Fórmula oficial: Fnt = (F/T) × Tnt — frecuencia del período de referencia dividida entre el tiempo de ese período, multiplicada por el tiempo de vigencia del acuerdo. Las RIAS y guías de práctica clínica fijan frecuencias mínimas u obligatorias, no un techo: la frecuencia real suele estar por encima o por debajo de la guía (webinar Jennifer Ortiz, MinSalud) — documente la desviación frente a la guía si la hay.</t>
        </r>
      </text>
    </comment>
    <comment ref="B33" authorId="0">
      <text>
        <r>
          <t>Precisión del webinar de MinSalud: no solo importa la modalidad de pago pactada, también importa QUÉ se pactó. Si diagnóstico y tratamiento de una condición están en la misma bolsa (capitación/PGP), el prestador asume más riesgo primario de incidencia; si la detección se contrata aparte del tratamiento, ese riesgo no se traslada de la misma forma.</t>
        </r>
      </text>
    </comment>
    <comment ref="B34" authorId="0">
      <text>
        <r>
          <t>El riesgo técnico puede terminar en cabeza del pagador, no del prestador: ejemplo citado por MinSalud — cuando la consulta (prescripción) y la dispensación de medicamentos están contratadas con dos terceros independientes, la EPS paga ambos contratos sin importar si el medicamento dispensado correspondía a lo prescrito según la guía clínica.</t>
        </r>
      </text>
    </comment>
    <comment ref="B40" authorId="0">
      <text>
        <r>
          <t>El decreto exige nota técnica de forma obligatoria en toda modalidad prospectiva (capitación, PGP, paquetes/canastas/GRD); en la modalidad por evento no es obligatoria, pero la metodología oficial recomienda construirla igual para todo servicio estandarizado o reglamentado (RIAS, guías de práctica clínica), en vez de fijar el valor solo con base en históricos de cobro.</t>
        </r>
      </text>
    </comment>
    <comment ref="B51" authorId="0">
      <text>
        <r>
          <t>La periodicidad de monitoreo debe ser MENOR al horizonte del acuerdo, nunca igual (webinar Jennifer Ortiz, MinSalud): un acuerdo a 1 año no debería monitorearse solo una vez al año. Al analizar desviaciones, recuerde que subir o bajar la frecuencia no es automáticamente bueno o malo — requiere analizar la causa (mejor detección temprana vs. pérdida de adherencia, por ejemplo).</t>
        </r>
      </text>
    </comment>
  </commentList>
</comments>
</file>

<file path=xl/comments3.xml><?xml version="1.0" encoding="utf-8"?>
<comments xmlns="http://schemas.openxmlformats.org/spreadsheetml/2006/main">
  <authors>
    <author>Author</author>
  </authors>
  <commentList>
    <comment ref="B12" authorId="0">
      <text>
        <r>
          <t>Suma de los cinco componentes de costo de "Ingreso de valores" (personal, insumos, indirectos, fijos, variables) — equivalente a CT = CF + CV de la metodología oficial (costos fijos + costos variables).</t>
        </r>
      </text>
    </comment>
    <comment ref="B14" authorId="0">
      <text>
        <r>
          <t>Costo medio por usuario = costo total mensual ÷ población objetivo. Útil para comparar contra el valor per cápita de una capitación, o como referencia si el prestador opera en varias zonas con costos distintos (ver nota del webinar en la hoja "Ingreso de valores", sección 3).</t>
        </r>
      </text>
    </comment>
  </commentList>
</comments>
</file>

<file path=xl/sharedStrings.xml><?xml version="1.0" encoding="utf-8"?>
<sst xmlns="http://schemas.openxmlformats.org/spreadsheetml/2006/main" count="149" uniqueCount="134">
  <si>
    <t>PLANTILLA DESCARGABLE</t>
  </si>
  <si>
    <t>Nota Técnica de Proveedor de Salud a EPS</t>
  </si>
  <si>
    <t>→ Ingreso de valores</t>
  </si>
  <si>
    <t>→ Resumen</t>
  </si>
  <si>
    <t>Leyenda:</t>
  </si>
  <si>
    <t>azul = editable (ejemplo, reemplácelo)</t>
  </si>
  <si>
    <t>gris = calculado (protegido, no editar)</t>
  </si>
  <si>
    <t>🛈 = pase el cursor: nota con la fuente o el cálculo</t>
  </si>
  <si>
    <t>Elementos clave para estructurar una nota técnica de IPS y otros prestadores hacia una EPS — guía de referencia. Diligencie sus valores en la hoja "Ingreso de valores" (botón de arriba); la hoja "Resumen" calcula los indicadores automáticamente a partir de esos valores.</t>
  </si>
  <si>
    <t>Elaborada por Fabian Dávila Ramírez, MD, MBA, PhD — a partir de la síntesis del XXI Congreso Nacional de Salud 2026 (sesión 22, "Modelación contractual avanzada para IPS"), de la metodología oficial de la nota técnica del Decreto 780 de 2016 (desarrollada por el Ministerio de Salud en abril de 2022), y del webinar "Buenas prácticas para la elaboración de la nota técnica" de Jennifer Ortiz (Ministerio de Salud, autora de esa metodología).</t>
  </si>
  <si>
    <t>Explorador interactivo: https://fadavilar.github.io/xxi-congreso-nacional-salud-2026/  ·  Licencia CC BY 4.0 — puede adaptarse y reutilizarse citando al autor.</t>
  </si>
  <si>
    <t>La nota técnica no es una idea de este congreso: es contenido mínimo obligatorio de los acuerdos de voluntades entre EPS (o entidades adaptadas/ARL) y prestadores, exigido por el art. 2.5.3.4.2.2 del Decreto 780 de 2016. Los cuatro elementos mínimos que exige la norma —identificación, población, frecuencias y costos— están marcados dentro de los elementos 1, 3 y 4 de esta guía (cada fila indica a cuál corresponde); los elementos 2 y 5 a 8 son buenas prácticas de negociación adicionales, no exigencias legales en sí mismas. Fuente: MinSalud, "Nota técnica: Decreto 441 de 2022" (abril 2022) — www.minsalud.gov.co.</t>
  </si>
  <si>
    <t>#</t>
  </si>
  <si>
    <t>Elemento</t>
  </si>
  <si>
    <t>Qué considerar</t>
  </si>
  <si>
    <t>Sesión del congreso</t>
  </si>
  <si>
    <t>Identificación y alcance</t>
  </si>
  <si>
    <t>Prestador, línea de servicio codificada en CUPS/CUM-IUM (elemento mínimo 1), EPS destinataria, vigencia, población objeto total y población susceptible por servicio (elemento mínimo 2), equipo interdisciplinario responsable.</t>
  </si>
  <si>
    <t>Sesión 22</t>
  </si>
  <si>
    <t>Marco tarifario de referencia</t>
  </si>
  <si>
    <t>Manual tarifario aplicado y brecha frente al CUPS. El SOAT y tarifarios de terceros son solo un punto de contraste — la metodología oficial advierte que no reflejan el costo real de operación del prestador.</t>
  </si>
  <si>
    <t>Sesiones 14 y 22</t>
  </si>
  <si>
    <t>Estructura de costos</t>
  </si>
  <si>
    <t>Costos directos (personal, insumos), indirectos (recomendado ≤15% del valor por servicio), fijos y variables (elemento mínimo 4), costo medio por afiliado — costeo propio, no tarifas históricas ni ineficiencias operativas transferidas.</t>
  </si>
  <si>
    <t>Supuestos de utilización</t>
  </si>
  <si>
    <t>Frecuencia esperada ajustada al período de vigencia (elemento mínimo 3), base epidemiológica, riesgo primario (incidencia/severidad) vs. riesgo técnico (utilización) según lo pactado, fuente de los datos.</t>
  </si>
  <si>
    <t>Sesiones 5 y 22</t>
  </si>
  <si>
    <t>Modelo de pago propuesto</t>
  </si>
  <si>
    <t>Modalidad (capitación, evento, paquete, PGP, resultado), tarifa, ajuste por IPC y periodicidad de revisión.</t>
  </si>
  <si>
    <t>Riesgo compartido</t>
  </si>
  <si>
    <t>Corredor de riesgo, techo (stop-loss), piso de garantía, responsabilidad por desviaciones y periodicidad de monitoreo pactada.</t>
  </si>
  <si>
    <t>Indicadores de calidad y resultado</t>
  </si>
  <si>
    <t>Métricas de calidad asociadas al pago, metas de oportunidad e incentivos o penalidades.</t>
  </si>
  <si>
    <t>Anexos y soportes</t>
  </si>
  <si>
    <t>Histórico de utilización, benchmarks (incluida la Nota Técnica País como referencia nacional, sin zona ni finalidad), memoria de cálculo y soportes normativos.</t>
  </si>
  <si>
    <t>No existe un formato único de nota técnica exigido por ley — la norma exige el contenido, no una plantilla específica. Esta plantilla no es un documento oficial de ninguna EPS o entidad regulatoria, pero sí sigue los cuatro elementos mínimos, las fórmulas y las buenas/malas prácticas documentadas por el Decreto 780 de 2016 (MinSalud, 2022) y por el webinar citado arriba: no está inventada, está adaptada de esas fuentes y de la síntesis del XXI Congreso Nacional de Salud 2026.</t>
  </si>
  <si>
    <t>Para quienes además quieran evaluar la adopción de esta nota técnica como herramienta (no solo su resultado financiero), el explorador interactivo usa un marco de resultados de implementación adaptado de Proctor, E. et al. (2011), "Outcomes for implementation research", Administration and Policy in Mental Health, 38(2), 65–76 — https://pubmed.ncbi.nlm.nih.gov/20957426/.</t>
  </si>
  <si>
    <t>Las hojas "Ingreso de valores" y "Resumen" están protegidas (sin contraseña) para evitar sobrescribir fórmulas o etiquetas por accidente — solo las celdas azules de ejemplo quedan editables. Para desproteger: pestaña Revisar → Desproteger hoja.</t>
  </si>
  <si>
    <t>→ Guía</t>
  </si>
  <si>
    <t>gris = calculado (protegido) · 🛈 = nota con la fuente o el cálculo al pasar el cursor</t>
  </si>
  <si>
    <t>Los valores en azul son un ejemplo ilustrativo (una IPS de nivel II en consulta externa especializada) — reemplácelos por los de su propio contrato o servicio. La hoja "Resumen" recalcula sola al cambiarlos. Las celdas con 🛈 tienen una nota: pase el cursor sobre ellas para ver la fuente o la explicación.</t>
  </si>
  <si>
    <t>1. Identificación y alcance</t>
  </si>
  <si>
    <t>IPS / prestador y nivel de complejidad</t>
  </si>
  <si>
    <t>IPS Ejemplo S.A.S. (nivel II)</t>
  </si>
  <si>
    <t>Línea de servicio o especialidad</t>
  </si>
  <si>
    <t>Consulta externa especializada</t>
  </si>
  <si>
    <t>EPS o pagador destinatario</t>
  </si>
  <si>
    <t>EPS Ejemplo</t>
  </si>
  <si>
    <t>Vigencia y período cubierto</t>
  </si>
  <si>
    <t>Enero–diciembre 2027</t>
  </si>
  <si>
    <t>Población objetivo (afiliados cubiertos)</t>
  </si>
  <si>
    <t>Equipo interdisciplinario conformado (epidemiología, economía/finanzas, ingeniería)</t>
  </si>
  <si>
    <t>Sí</t>
  </si>
  <si>
    <t>2. Marco tarifario de referencia</t>
  </si>
  <si>
    <t>Manual tarifario aplicado</t>
  </si>
  <si>
    <t>Tarifario propio (recomendado)</t>
  </si>
  <si>
    <t>Códigos CUPS cubiertos vs. no cubiertos</t>
  </si>
  <si>
    <t>180 de 220 procedimientos frecuentes (≈82%)</t>
  </si>
  <si>
    <t>Ajustes pactados frente al período anterior</t>
  </si>
  <si>
    <t>IPC + 1,5%</t>
  </si>
  <si>
    <t>Justificación de desviación frente a tarifas históricas</t>
  </si>
  <si>
    <t>Servicios de alta complejidad sin tarifa SOAT equivalente</t>
  </si>
  <si>
    <t>El SOAT y otros tarifarios de terceros sirven aquí solo de contraste: la metodología oficial de MinSalud advierte que no reflejan el costo real de operación del prestador y no deberían ser la base directa del costeo (hoja "Guía", elemento 2).</t>
  </si>
  <si>
    <t>3. Estructura de costos (mensual)</t>
  </si>
  <si>
    <t>Costos directos — personal asistencial (COP/mes)</t>
  </si>
  <si>
    <t>Costos directos — insumos y medicamentos (COP/mes)</t>
  </si>
  <si>
    <t>Costos indirectos / overhead (COP/mes)</t>
  </si>
  <si>
    <t>Costos fijos (COP/mes)</t>
  </si>
  <si>
    <t>Costos variables (COP/mes)</t>
  </si>
  <si>
    <t>4. Supuestos de utilización</t>
  </si>
  <si>
    <t>Frecuencia de uso esperada (consultas/afiliado/año)</t>
  </si>
  <si>
    <t>Base epidemiológica o demanda proyectada</t>
  </si>
  <si>
    <t>Prevalencia regional estimada, consulta externa especializada</t>
  </si>
  <si>
    <t>¿Diagnóstico y tratamiento en la misma bolsa de pago?</t>
  </si>
  <si>
    <t>No aplica</t>
  </si>
  <si>
    <t>Riesgo primario (incidencia/severidad) vs. riesgo técnico (utilización)</t>
  </si>
  <si>
    <t>Riesgo técnico: variabilidad histórica de uso ±8%</t>
  </si>
  <si>
    <t>Estacionalidad o variabilidad esperada</t>
  </si>
  <si>
    <t>+15% en enero–marzo</t>
  </si>
  <si>
    <t>Fuente de los datos históricos utilizados</t>
  </si>
  <si>
    <t>Histórico propio de facturación 2024–2026, contrastado con la Nota Técnica País</t>
  </si>
  <si>
    <t>La norma exige ajustar la frecuencia al período de vigencia del acuerdo: frecuencia del período de referencia ÷ tiempo de ese período × tiempo de vigencia (hoja "Guía", elemento 4). Esta plantilla usa la frecuencia ya anualizada como simplificación.</t>
  </si>
  <si>
    <t>5. Modelo de pago propuesto</t>
  </si>
  <si>
    <t>Modalidad (capitación, evento, paquete, PGP, resultado)</t>
  </si>
  <si>
    <t>Evento</t>
  </si>
  <si>
    <t>Tarifa propuesta por evento (COP)</t>
  </si>
  <si>
    <t>Volumen mensual esperado (eventos)</t>
  </si>
  <si>
    <t>Ajuste por inflación o IPC</t>
  </si>
  <si>
    <t>Anual, según IPC certificado DANE</t>
  </si>
  <si>
    <t>Periodicidad de revisión tarifaria</t>
  </si>
  <si>
    <t>Anual</t>
  </si>
  <si>
    <t>6. Riesgo compartido y seguimiento</t>
  </si>
  <si>
    <t>Corredor de riesgo (risk corridor)</t>
  </si>
  <si>
    <t>±10% sobre el volumen esperado</t>
  </si>
  <si>
    <t>Techo (stop-loss, COP/mes)</t>
  </si>
  <si>
    <t>Piso de garantía (COP/mes)</t>
  </si>
  <si>
    <t>Responsabilidad por desviaciones</t>
  </si>
  <si>
    <t>Compartida 50/50 sobre el exceso frente al corredor</t>
  </si>
  <si>
    <t>Periodicidad de monitoreo pactada</t>
  </si>
  <si>
    <t>Trimestral</t>
  </si>
  <si>
    <t>7. Indicadores de calidad y resultado</t>
  </si>
  <si>
    <t>Indicador de calidad asociado al pago</t>
  </si>
  <si>
    <t>Oportunidad de cita &lt; 5 días hábiles</t>
  </si>
  <si>
    <t>Meta de oportunidad de atención</t>
  </si>
  <si>
    <t>95% de citas dentro del plazo</t>
  </si>
  <si>
    <t>Indicador de satisfacción del usuario</t>
  </si>
  <si>
    <t>NPS ≥ 70</t>
  </si>
  <si>
    <t>Incentivo o penalidad por cumplimiento</t>
  </si>
  <si>
    <t>±3% de la tarifa según cumplimiento de metas</t>
  </si>
  <si>
    <t>8. Anexos y soportes</t>
  </si>
  <si>
    <t>Histórico de utilización o facturación (12–24 meses)</t>
  </si>
  <si>
    <t>Adjunto: histórico_facturación_2024-2026.xlsx</t>
  </si>
  <si>
    <t>Benchmarks de mercado o de la red</t>
  </si>
  <si>
    <t>Adjunto: benchmark_regional_2026.pdf</t>
  </si>
  <si>
    <t>Memoria de cálculo / hoja de costeo</t>
  </si>
  <si>
    <t>Ver hoja "Resumen"</t>
  </si>
  <si>
    <t>Soportes normativos citados</t>
  </si>
  <si>
    <t>Resolución 2706 de 2025; Circular 022 de 2026</t>
  </si>
  <si>
    <t>Calculado automáticamente a partir de la hoja "Ingreso de valores". Toda esta hoja está protegida — las celdas grises tienen fórmula y no se pueden editar directamente; cambie los valores en "Ingreso de valores" (botón de arriba) y este resumen se actualiza solo.</t>
  </si>
  <si>
    <t>Identificación (tomada de "Ingreso de valores")</t>
  </si>
  <si>
    <t>Población objetivo (afiliados)</t>
  </si>
  <si>
    <t>Costos mensuales</t>
  </si>
  <si>
    <t>Costo total mensual</t>
  </si>
  <si>
    <t>Costo por evento</t>
  </si>
  <si>
    <t>Costo medio por afiliado (COP/mes)</t>
  </si>
  <si>
    <t>Ingresos e indicadores del modelo de pago propuesto</t>
  </si>
  <si>
    <t>Ingreso mensual proyectado (volumen × tarifa)</t>
  </si>
  <si>
    <t>Margen mensual (ingreso − costo)</t>
  </si>
  <si>
    <t>Margen por evento (tarifa − costo por evento)</t>
  </si>
  <si>
    <t>Margen (% del ingreso)</t>
  </si>
  <si>
    <t>Punto de equilibrio (break-even)</t>
  </si>
  <si>
    <t>Volumen de equilibrio (eventos/mes)</t>
  </si>
  <si>
    <t>Estado frente al volumen esperado</t>
  </si>
  <si>
    <t>Cálculo ilustrativo con la fórmula más simple posible (ingreso por evento menos costo por evento) — equivalente simplificado del EFst = CTst × Fest de la metodología oficial (costo total del servicio × frecuencia estimada). No sustituye un modelo actuarial completo, y no incorpora impuestos, provisiones ni el corredor de riesgo definido en "Ingreso de valores" — hoja 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</si>
</sst>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quot;$&quot;#,##0"/>
    <numFmt numFmtId="165" formatCode="0.0%"/>
  </numFmts>
  <fonts count="16" x14ac:knownFonts="1">
    <font>
      <color theme="1"/>
      <family val="2"/>
      <scheme val="minor"/>
      <sz val="11"/>
      <name val="Calibri"/>
    </font>
    <font>
      <b/>
      <color rgb="FF0F5C66"/>
      <sz val="10"/>
    </font>
    <font>
      <b/>
      <sz val="18"/>
    </font>
    <font>
      <b/>
      <color rgb="FFFFFFFF"/>
      <sz val="9.5"/>
    </font>
    <font>
      <b/>
      <color rgb="FF57667A"/>
      <sz val="8.5"/>
    </font>
    <font>
      <i/>
      <color rgb="FF1B6FA8"/>
      <sz val="8.5"/>
    </font>
    <font>
      <i/>
      <color rgb="FF57667A"/>
      <sz val="8.5"/>
    </font>
    <font>
      <color rgb="FF57667A"/>
      <sz val="11"/>
    </font>
    <font>
      <color rgb="FF57667A"/>
      <sz val="9.5"/>
    </font>
    <font>
      <i/>
      <color rgb="FF0F5C66"/>
      <sz val="9"/>
    </font>
    <font>
      <color rgb="FF0F5C66"/>
      <sz val="9.5"/>
    </font>
    <font>
      <b/>
      <color rgb="FF0F5C66"/>
    </font>
    <font>
      <i/>
      <color rgb="FF57667A"/>
      <sz val="9.5"/>
    </font>
    <font>
      <color rgb="FF57667A"/>
      <sz val="10"/>
    </font>
    <font>
      <b/>
      <color rgb="FFFFFFFF"/>
      <sz val="12"/>
    </font>
    <font>
      <i/>
      <color rgb="FF1B6FA8"/>
    </font>
  </fonts>
  <fills count="7">
    <fill>
      <patternFill patternType="none"/>
    </fill>
    <fill>
      <patternFill patternType="gray125"/>
    </fill>
    <fill>
      <patternFill patternType="solid">
        <fgColor rgb="FF0B4750"/>
      </patternFill>
    </fill>
    <fill>
      <patternFill patternType="solid">
        <fgColor rgb="FFEAF2FA"/>
      </patternFill>
    </fill>
    <fill>
      <patternFill patternType="solid">
        <fgColor rgb="FFF1F4F8"/>
      </patternFill>
    </fill>
    <fill>
      <patternFill patternType="solid">
        <fgColor rgb="FFE3F1F2"/>
      </patternFill>
    </fill>
    <fill>
      <patternFill patternType="solid">
        <fgColor rgb="FF0F5C66"/>
      </patternFill>
    </fill>
  </fills>
  <borders count="2">
    <border>
      <left/>
      <right/>
      <top/>
      <bottom/>
      <diagonal/>
    </border>
    <border>
      <left style="thin">
        <color rgb="FFD7DEE6"/>
      </left>
      <right style="thin">
        <color rgb="FFD7DEE6"/>
      </right>
      <top style="thin">
        <color rgb="FFD7DEE6"/>
      </top>
      <bottom style="thin">
        <color rgb="FFD7DEE6"/>
      </bottom>
      <diagonal/>
    </border>
  </borders>
  <cellStyleXfs count="1">
    <xf numFmtId="0" fontId="0" fillId="0" borderId="0"/>
  </cellStyleXfs>
  <cellXfs count="27">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xf>
    <xf numFmtId="0" fontId="4" fillId="0" borderId="0" xfId="0" applyFont="1" applyAlignment="1">
      <alignment vertical="center"/>
    </xf>
    <xf numFmtId="0" fontId="5" fillId="3" borderId="1" xfId="0" applyFont="1" applyFill="1" applyBorder="1" applyAlignment="1">
      <alignment vertical="center" wrapText="1"/>
    </xf>
    <xf numFmtId="0" fontId="6" fillId="4" borderId="1" xfId="0" applyFont="1" applyFill="1" applyBorder="1" applyAlignment="1">
      <alignment vertical="center" wrapText="1"/>
    </xf>
    <xf numFmtId="0" fontId="6" fillId="0" borderId="0" xfId="0" applyFont="1" applyAlignment="1">
      <alignment vertical="center" wrapText="1"/>
    </xf>
    <xf numFmtId="0" fontId="7" fillId="0" borderId="0" xfId="0" applyFont="1" applyAlignment="1">
      <alignment vertical="top" wrapText="1"/>
    </xf>
    <xf numFmtId="0" fontId="8" fillId="0" borderId="0" xfId="0" applyFont="1" applyAlignment="1">
      <alignment wrapText="1"/>
    </xf>
    <xf numFmtId="0" fontId="9" fillId="0" borderId="0" xfId="0" applyFont="1" applyAlignment="1">
      <alignment wrapText="1"/>
    </xf>
    <xf numFmtId="0" fontId="10" fillId="0" borderId="0" xfId="0" applyFont="1" applyAlignment="1">
      <alignment vertical="top" wrapText="1"/>
    </xf>
    <xf numFmtId="0" fontId="11" fillId="5" borderId="1" xfId="0" applyFont="1" applyFill="1" applyBorder="1" applyAlignment="1">
      <alignment vertical="center" wrapText="1"/>
    </xf>
    <xf numFmtId="0" fontId="11" fillId="0" borderId="1" xfId="0" applyFont="1" applyBorder="1" applyAlignment="1">
      <alignment horizontal="center" vertical="top"/>
    </xf>
    <xf numFmtId="0" fontId="0" fillId="0" borderId="1" xfId="0" applyBorder="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4" fillId="6" borderId="1" xfId="0" applyFont="1" applyFill="1" applyBorder="1" applyAlignment="1">
      <alignment vertical="center"/>
    </xf>
    <xf numFmtId="0" fontId="15" fillId="3" borderId="1" xfId="0" applyFont="1" applyFill="1" applyBorder="1" applyAlignment="1" applyProtection="1">
      <alignment horizontal="left" vertical="top" wrapText="1"/>
      <protection locked="0"/>
    </xf>
    <xf numFmtId="3" fontId="15" fillId="3" borderId="1" xfId="0" applyNumberFormat="1" applyFont="1" applyFill="1" applyBorder="1" applyAlignment="1" applyProtection="1">
      <alignment horizontal="right" vertical="top" wrapText="1"/>
      <protection locked="0"/>
    </xf>
    <xf numFmtId="164" fontId="15" fillId="3" borderId="1" xfId="0" applyNumberFormat="1" applyFont="1" applyFill="1" applyBorder="1" applyAlignment="1" applyProtection="1">
      <alignment horizontal="right" vertical="top" wrapText="1"/>
      <protection locked="0"/>
    </xf>
    <xf numFmtId="2" fontId="15" fillId="3" borderId="1" xfId="0" applyNumberFormat="1" applyFont="1" applyFill="1" applyBorder="1" applyAlignment="1" applyProtection="1">
      <alignment horizontal="right" vertical="top" wrapText="1"/>
      <protection locked="0"/>
    </xf>
    <xf numFmtId="0" fontId="0" fillId="4" borderId="1" xfId="0" applyFill="1" applyBorder="1" applyAlignment="1">
      <alignment vertical="top" wrapText="1"/>
    </xf>
    <xf numFmtId="164" fontId="11" fillId="4" borderId="1" xfId="0" applyNumberFormat="1" applyFont="1" applyFill="1" applyBorder="1" applyAlignment="1">
      <alignment horizontal="right" vertical="top"/>
    </xf>
    <xf numFmtId="165" fontId="11" fillId="4" borderId="1" xfId="0" applyNumberFormat="1" applyFont="1" applyFill="1" applyBorder="1" applyAlignment="1">
      <alignment horizontal="right" vertical="top"/>
    </xf>
    <xf numFmtId="3" fontId="11" fillId="4" borderId="1" xfId="0" applyNumberFormat="1" applyFont="1" applyFill="1" applyBorder="1" applyAlignment="1">
      <alignment horizontal="right" vertical="top"/>
    </xf>
    <xf numFmtId="0" fontId="11"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Ingreso de valores&apos;!A1" TargetMode="External"/><Relationship Id="rId2" Type="http://schemas.openxmlformats.org/officeDocument/2006/relationships/hyperlink" Target="#&apos;Resumen&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Gu&#237;a&apos;!A1" TargetMode="External"/><Relationship Id="rId2" Type="http://schemas.openxmlformats.org/officeDocument/2006/relationships/hyperlink" Target="#&apos;Resumen&apos;!A1" TargetMode="External"/><Relationship Id="rId3" Type="http://schemas.openxmlformats.org/officeDocument/2006/relationships/comments" Target="../comments2.xml"/><Relationship Id="rId4"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hyperlink" Target="#&apos;Gu&#237;a&apos;!A1" TargetMode="External"/><Relationship Id="rId2" Type="http://schemas.openxmlformats.org/officeDocument/2006/relationships/hyperlink" Target="#&apos;Ingreso de valores&apos;!A1" TargetMode="External"/><Relationship Id="rId3" Type="http://schemas.openxmlformats.org/officeDocument/2006/relationships/comments" Target="../comments3.xml"/><Relationship Id="rId4"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25"/>
  <sheetViews>
    <sheetView workbookViewId="0" showGridLines="0"/>
  </sheetViews>
  <sheetFormatPr defaultRowHeight="15" outlineLevelRow="0" outlineLevelCol="0" x14ac:dyDescent="55"/>
  <cols>
    <col min="1" max="1" width="8" customWidth="1"/>
    <col min="2" max="2" width="34" customWidth="1"/>
    <col min="3" max="3" width="60" customWidth="1"/>
    <col min="4" max="4" width="14" customWidth="1"/>
  </cols>
  <sheetData>
    <row r="1" spans="1:4" x14ac:dyDescent="0.25">
      <c r="A1" s="1" t="s">
        <v>0</v>
      </c>
      <c r="B1" s="1"/>
      <c r="C1" s="1"/>
      <c r="D1" s="1"/>
    </row>
    <row r="2" ht="26" customHeight="1" spans="1:4" x14ac:dyDescent="0.25">
      <c r="A2" s="2" t="s">
        <v>1</v>
      </c>
      <c r="B2" s="2"/>
      <c r="C2" s="2"/>
      <c r="D2" s="2"/>
    </row>
    <row r="4" ht="22" customHeight="1" spans="1:4" x14ac:dyDescent="0.25">
      <c r="A4" s="3" t="s">
        <v>2</v>
      </c>
      <c r="B4" s="3"/>
      <c r="C4" s="3" t="s">
        <v>3</v>
      </c>
      <c r="D4" s="3"/>
    </row>
    <row r="5" ht="26" customHeight="1" spans="1:4" x14ac:dyDescent="0.25">
      <c r="A5" s="4" t="s">
        <v>4</v>
      </c>
      <c r="B5" s="5" t="s">
        <v>5</v>
      </c>
      <c r="C5" s="6" t="s">
        <v>6</v>
      </c>
      <c r="D5" s="7" t="s">
        <v>7</v>
      </c>
    </row>
    <row r="6" spans="1:4" x14ac:dyDescent="0.25">
      <c r="A6" s="8" t="s">
        <v>8</v>
      </c>
      <c r="B6" s="8"/>
      <c r="C6" s="8"/>
      <c r="D6" s="8"/>
    </row>
    <row r="8" ht="48" customHeight="1" spans="1:4" x14ac:dyDescent="0.25">
      <c r="A8" s="9" t="s">
        <v>9</v>
      </c>
      <c r="B8" s="9"/>
      <c r="C8" s="9"/>
      <c r="D8" s="9"/>
    </row>
    <row r="9" ht="22" customHeight="1" spans="1:4" x14ac:dyDescent="0.25">
      <c r="A9" s="10" t="s">
        <v>10</v>
      </c>
      <c r="B9" s="10"/>
      <c r="C9" s="10"/>
      <c r="D9" s="10"/>
    </row>
    <row r="11" ht="48" customHeight="1" spans="1:4" x14ac:dyDescent="0.25">
      <c r="A11" s="11" t="s">
        <v>11</v>
      </c>
      <c r="B11" s="11"/>
      <c r="C11" s="11"/>
      <c r="D11" s="11"/>
    </row>
    <row r="13" ht="20" customHeight="1" spans="1:4" x14ac:dyDescent="0.25">
      <c r="A13" s="12" t="s">
        <v>12</v>
      </c>
      <c r="B13" s="12" t="s">
        <v>13</v>
      </c>
      <c r="C13" s="12" t="s">
        <v>14</v>
      </c>
      <c r="D13" s="12" t="s">
        <v>15</v>
      </c>
    </row>
    <row r="14" spans="1:4" x14ac:dyDescent="0.25">
      <c r="A14" s="13">
        <v>1</v>
      </c>
      <c r="B14" s="14" t="s">
        <v>16</v>
      </c>
      <c r="C14" s="14" t="s">
        <v>17</v>
      </c>
      <c r="D14" s="14" t="s">
        <v>18</v>
      </c>
    </row>
    <row r="15" spans="1:4" x14ac:dyDescent="0.25">
      <c r="A15" s="13">
        <v>2</v>
      </c>
      <c r="B15" s="14" t="s">
        <v>19</v>
      </c>
      <c r="C15" s="14" t="s">
        <v>20</v>
      </c>
      <c r="D15" s="14" t="s">
        <v>21</v>
      </c>
    </row>
    <row r="16" spans="1:4" x14ac:dyDescent="0.25">
      <c r="A16" s="13">
        <v>3</v>
      </c>
      <c r="B16" s="14" t="s">
        <v>22</v>
      </c>
      <c r="C16" s="14" t="s">
        <v>23</v>
      </c>
      <c r="D16" s="14" t="s">
        <v>21</v>
      </c>
    </row>
    <row r="17" spans="1:4" x14ac:dyDescent="0.25">
      <c r="A17" s="13">
        <v>4</v>
      </c>
      <c r="B17" s="14" t="s">
        <v>24</v>
      </c>
      <c r="C17" s="14" t="s">
        <v>25</v>
      </c>
      <c r="D17" s="14" t="s">
        <v>26</v>
      </c>
    </row>
    <row r="18" spans="1:4" x14ac:dyDescent="0.25">
      <c r="A18" s="13">
        <v>5</v>
      </c>
      <c r="B18" s="14" t="s">
        <v>27</v>
      </c>
      <c r="C18" s="14" t="s">
        <v>28</v>
      </c>
      <c r="D18" s="14" t="s">
        <v>18</v>
      </c>
    </row>
    <row r="19" spans="1:4" x14ac:dyDescent="0.25">
      <c r="A19" s="13">
        <v>6</v>
      </c>
      <c r="B19" s="14" t="s">
        <v>29</v>
      </c>
      <c r="C19" s="14" t="s">
        <v>30</v>
      </c>
      <c r="D19" s="14" t="s">
        <v>18</v>
      </c>
    </row>
    <row r="20" spans="1:4" x14ac:dyDescent="0.25">
      <c r="A20" s="13">
        <v>7</v>
      </c>
      <c r="B20" s="14" t="s">
        <v>31</v>
      </c>
      <c r="C20" s="14" t="s">
        <v>32</v>
      </c>
      <c r="D20" s="14" t="s">
        <v>18</v>
      </c>
    </row>
    <row r="21" spans="1:4" x14ac:dyDescent="0.25">
      <c r="A21" s="13">
        <v>8</v>
      </c>
      <c r="B21" s="14" t="s">
        <v>33</v>
      </c>
      <c r="C21" s="14" t="s">
        <v>34</v>
      </c>
      <c r="D21" s="14" t="s">
        <v>18</v>
      </c>
    </row>
    <row r="23" ht="40" customHeight="1" spans="1:4" x14ac:dyDescent="0.25">
      <c r="A23" s="15" t="s">
        <v>35</v>
      </c>
      <c r="B23" s="15"/>
      <c r="C23" s="15"/>
      <c r="D23" s="15"/>
    </row>
    <row r="24" ht="46" customHeight="1" spans="1:4" x14ac:dyDescent="0.25">
      <c r="A24" s="15" t="s">
        <v>36</v>
      </c>
      <c r="B24" s="15"/>
      <c r="C24" s="15"/>
      <c r="D24" s="15"/>
    </row>
    <row r="25" ht="32" customHeight="1" spans="1:4" x14ac:dyDescent="0.25">
      <c r="A25" s="15" t="s">
        <v>37</v>
      </c>
      <c r="B25" s="15"/>
      <c r="C25" s="15"/>
      <c r="D25" s="15"/>
    </row>
  </sheetData>
  <sheetProtection sheet="1"/>
  <mergeCells count="11">
    <mergeCell ref="A1:D1"/>
    <mergeCell ref="A2:D2"/>
    <mergeCell ref="A4:B4"/>
    <mergeCell ref="C4:D4"/>
    <mergeCell ref="A6:D6"/>
    <mergeCell ref="A8:D8"/>
    <mergeCell ref="A9:D9"/>
    <mergeCell ref="A11:D11"/>
    <mergeCell ref="A23:D23"/>
    <mergeCell ref="A24:D24"/>
    <mergeCell ref="A25:D25"/>
  </mergeCells>
  <hyperlinks>
    <hyperlink ref="A4" r:id="rId1" tooltip="Ir a la hoja &quot;Ingreso de valores&quot;" location="#'Ingreso de valores'!A1"/>
    <hyperlink ref="C4" r:id="rId2" tooltip="Ir a la hoja &quot;Resumen&quot;" location="#'Resumen'!A1"/>
  </hyperlinks>
  <pageMargins left="0.4" right="0.4" top="0.5" bottom="0.5" header="0.2" footer="0.2"/>
  <pageSetup orientation="portrait"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63"/>
  <sheetViews>
    <sheetView workbookViewId="0" showGridLines="0"/>
  </sheetViews>
  <sheetFormatPr defaultRowHeight="15" outlineLevelRow="0" outlineLevelCol="0" x14ac:dyDescent="55"/>
  <cols>
    <col min="1" max="1" width="46" customWidth="1"/>
    <col min="2" max="2" width="34" customWidth="1"/>
  </cols>
  <sheetData>
    <row r="1" spans="1:2" x14ac:dyDescent="0.25">
      <c r="A1" s="1" t="s">
        <v>0</v>
      </c>
      <c r="B1" s="1"/>
    </row>
    <row r="2" ht="26" customHeight="1" spans="1:2" x14ac:dyDescent="0.25">
      <c r="A2" s="2" t="s">
        <v>1</v>
      </c>
      <c r="B2" s="2"/>
    </row>
    <row r="4" ht="22" customHeight="1" spans="1:2" x14ac:dyDescent="0.25">
      <c r="A4" s="3" t="s">
        <v>38</v>
      </c>
      <c r="B4" s="3" t="s">
        <v>3</v>
      </c>
    </row>
    <row r="5" ht="30" customHeight="1" spans="1:2" x14ac:dyDescent="0.25">
      <c r="A5" s="5" t="s">
        <v>5</v>
      </c>
      <c r="B5" s="6" t="s">
        <v>39</v>
      </c>
    </row>
    <row r="6" spans="1:2" x14ac:dyDescent="0.25">
      <c r="A6" s="16" t="s">
        <v>40</v>
      </c>
      <c r="B6" s="16"/>
    </row>
    <row r="8" ht="20" customHeight="1" spans="1:2" x14ac:dyDescent="0.25">
      <c r="A8" s="17" t="s">
        <v>41</v>
      </c>
      <c r="B8" s="17"/>
    </row>
    <row r="9" spans="1:2" x14ac:dyDescent="0.25">
      <c r="A9" s="14" t="s">
        <v>42</v>
      </c>
      <c r="B9" s="18" t="s">
        <v>43</v>
      </c>
    </row>
    <row r="10" spans="1:2" x14ac:dyDescent="0.25">
      <c r="A10" s="14" t="s">
        <v>44</v>
      </c>
      <c r="B10" s="18" t="s">
        <v>45</v>
      </c>
    </row>
    <row r="11" spans="1:2" x14ac:dyDescent="0.25">
      <c r="A11" s="14" t="s">
        <v>46</v>
      </c>
      <c r="B11" s="18" t="s">
        <v>47</v>
      </c>
    </row>
    <row r="12" spans="1:2" x14ac:dyDescent="0.25">
      <c r="A12" s="14" t="s">
        <v>48</v>
      </c>
      <c r="B12" s="18" t="s">
        <v>49</v>
      </c>
    </row>
    <row r="13" spans="1:2" x14ac:dyDescent="0.25">
      <c r="A13" s="14" t="s">
        <v>50</v>
      </c>
      <c r="B13" s="19">
        <v>15000</v>
      </c>
    </row>
    <row r="14" spans="1:2" x14ac:dyDescent="0.25">
      <c r="A14" s="14" t="s">
        <v>51</v>
      </c>
      <c r="B14" s="18" t="s">
        <v>52</v>
      </c>
    </row>
    <row r="16" ht="20" customHeight="1" spans="1:2" x14ac:dyDescent="0.25">
      <c r="A16" s="17" t="s">
        <v>53</v>
      </c>
      <c r="B16" s="17"/>
    </row>
    <row r="17" spans="1:2" x14ac:dyDescent="0.25">
      <c r="A17" s="14" t="s">
        <v>54</v>
      </c>
      <c r="B17" s="18" t="s">
        <v>55</v>
      </c>
    </row>
    <row r="18" spans="1:2" x14ac:dyDescent="0.25">
      <c r="A18" s="14" t="s">
        <v>56</v>
      </c>
      <c r="B18" s="18" t="s">
        <v>57</v>
      </c>
    </row>
    <row r="19" spans="1:2" x14ac:dyDescent="0.25">
      <c r="A19" s="14" t="s">
        <v>58</v>
      </c>
      <c r="B19" s="18" t="s">
        <v>59</v>
      </c>
    </row>
    <row r="20" spans="1:2" x14ac:dyDescent="0.25">
      <c r="A20" s="14" t="s">
        <v>60</v>
      </c>
      <c r="B20" s="18" t="s">
        <v>61</v>
      </c>
    </row>
    <row r="21" ht="40" customHeight="1" spans="1:2" x14ac:dyDescent="0.25">
      <c r="A21" s="15" t="s">
        <v>62</v>
      </c>
      <c r="B21" s="15"/>
    </row>
    <row r="23" ht="20" customHeight="1" spans="1:2" x14ac:dyDescent="0.25">
      <c r="A23" s="17" t="s">
        <v>63</v>
      </c>
      <c r="B23" s="17"/>
    </row>
    <row r="24" spans="1:2" x14ac:dyDescent="0.25">
      <c r="A24" s="14" t="s">
        <v>64</v>
      </c>
      <c r="B24" s="20">
        <v>120000000</v>
      </c>
    </row>
    <row r="25" spans="1:2" x14ac:dyDescent="0.25">
      <c r="A25" s="14" t="s">
        <v>65</v>
      </c>
      <c r="B25" s="20">
        <v>40000000</v>
      </c>
    </row>
    <row r="26" spans="1:2" x14ac:dyDescent="0.25">
      <c r="A26" s="14" t="s">
        <v>66</v>
      </c>
      <c r="B26" s="20">
        <v>25000000</v>
      </c>
    </row>
    <row r="27" spans="1:2" x14ac:dyDescent="0.25">
      <c r="A27" s="14" t="s">
        <v>67</v>
      </c>
      <c r="B27" s="20">
        <v>18000000</v>
      </c>
    </row>
    <row r="28" spans="1:2" x14ac:dyDescent="0.25">
      <c r="A28" s="14" t="s">
        <v>68</v>
      </c>
      <c r="B28" s="20">
        <v>12000000</v>
      </c>
    </row>
    <row r="30" ht="20" customHeight="1" spans="1:2" x14ac:dyDescent="0.25">
      <c r="A30" s="17" t="s">
        <v>69</v>
      </c>
      <c r="B30" s="17"/>
    </row>
    <row r="31" spans="1:2" x14ac:dyDescent="0.25">
      <c r="A31" s="14" t="s">
        <v>70</v>
      </c>
      <c r="B31" s="21">
        <v>0.8</v>
      </c>
    </row>
    <row r="32" spans="1:2" x14ac:dyDescent="0.25">
      <c r="A32" s="14" t="s">
        <v>71</v>
      </c>
      <c r="B32" s="18" t="s">
        <v>72</v>
      </c>
    </row>
    <row r="33" spans="1:2" x14ac:dyDescent="0.25">
      <c r="A33" s="14" t="s">
        <v>73</v>
      </c>
      <c r="B33" s="18" t="s">
        <v>74</v>
      </c>
    </row>
    <row r="34" spans="1:2" x14ac:dyDescent="0.25">
      <c r="A34" s="14" t="s">
        <v>75</v>
      </c>
      <c r="B34" s="18" t="s">
        <v>76</v>
      </c>
    </row>
    <row r="35" spans="1:2" x14ac:dyDescent="0.25">
      <c r="A35" s="14" t="s">
        <v>77</v>
      </c>
      <c r="B35" s="18" t="s">
        <v>78</v>
      </c>
    </row>
    <row r="36" spans="1:2" x14ac:dyDescent="0.25">
      <c r="A36" s="14" t="s">
        <v>79</v>
      </c>
      <c r="B36" s="18" t="s">
        <v>80</v>
      </c>
    </row>
    <row r="37" ht="40" customHeight="1" spans="1:2" x14ac:dyDescent="0.25">
      <c r="A37" s="15" t="s">
        <v>81</v>
      </c>
      <c r="B37" s="15"/>
    </row>
    <row r="39" ht="20" customHeight="1" spans="1:2" x14ac:dyDescent="0.25">
      <c r="A39" s="17" t="s">
        <v>82</v>
      </c>
      <c r="B39" s="17"/>
    </row>
    <row r="40" spans="1:2" x14ac:dyDescent="0.25">
      <c r="A40" s="14" t="s">
        <v>83</v>
      </c>
      <c r="B40" s="18" t="s">
        <v>84</v>
      </c>
    </row>
    <row r="41" spans="1:2" x14ac:dyDescent="0.25">
      <c r="A41" s="14" t="s">
        <v>85</v>
      </c>
      <c r="B41" s="20">
        <v>85000</v>
      </c>
    </row>
    <row r="42" spans="1:2" x14ac:dyDescent="0.25">
      <c r="A42" s="14" t="s">
        <v>86</v>
      </c>
      <c r="B42" s="19">
        <v>1000</v>
      </c>
    </row>
    <row r="43" spans="1:2" x14ac:dyDescent="0.25">
      <c r="A43" s="14" t="s">
        <v>87</v>
      </c>
      <c r="B43" s="18" t="s">
        <v>88</v>
      </c>
    </row>
    <row r="44" spans="1:2" x14ac:dyDescent="0.25">
      <c r="A44" s="14" t="s">
        <v>89</v>
      </c>
      <c r="B44" s="18" t="s">
        <v>90</v>
      </c>
    </row>
    <row r="46" ht="20" customHeight="1" spans="1:2" x14ac:dyDescent="0.25">
      <c r="A46" s="17" t="s">
        <v>91</v>
      </c>
      <c r="B46" s="17"/>
    </row>
    <row r="47" spans="1:2" x14ac:dyDescent="0.25">
      <c r="A47" s="14" t="s">
        <v>92</v>
      </c>
      <c r="B47" s="18" t="s">
        <v>93</v>
      </c>
    </row>
    <row r="48" spans="1:2" x14ac:dyDescent="0.25">
      <c r="A48" s="14" t="s">
        <v>94</v>
      </c>
      <c r="B48" s="20">
        <v>250000000</v>
      </c>
    </row>
    <row r="49" spans="1:2" x14ac:dyDescent="0.25">
      <c r="A49" s="14" t="s">
        <v>95</v>
      </c>
      <c r="B49" s="20">
        <v>150000000</v>
      </c>
    </row>
    <row r="50" spans="1:2" x14ac:dyDescent="0.25">
      <c r="A50" s="14" t="s">
        <v>96</v>
      </c>
      <c r="B50" s="18" t="s">
        <v>97</v>
      </c>
    </row>
    <row r="51" spans="1:2" x14ac:dyDescent="0.25">
      <c r="A51" s="14" t="s">
        <v>98</v>
      </c>
      <c r="B51" s="18" t="s">
        <v>99</v>
      </c>
    </row>
    <row r="53" ht="20" customHeight="1" spans="1:2" x14ac:dyDescent="0.25">
      <c r="A53" s="17" t="s">
        <v>100</v>
      </c>
      <c r="B53" s="17"/>
    </row>
    <row r="54" spans="1:2" x14ac:dyDescent="0.25">
      <c r="A54" s="14" t="s">
        <v>101</v>
      </c>
      <c r="B54" s="18" t="s">
        <v>102</v>
      </c>
    </row>
    <row r="55" spans="1:2" x14ac:dyDescent="0.25">
      <c r="A55" s="14" t="s">
        <v>103</v>
      </c>
      <c r="B55" s="18" t="s">
        <v>104</v>
      </c>
    </row>
    <row r="56" spans="1:2" x14ac:dyDescent="0.25">
      <c r="A56" s="14" t="s">
        <v>105</v>
      </c>
      <c r="B56" s="18" t="s">
        <v>106</v>
      </c>
    </row>
    <row r="57" spans="1:2" x14ac:dyDescent="0.25">
      <c r="A57" s="14" t="s">
        <v>107</v>
      </c>
      <c r="B57" s="18" t="s">
        <v>108</v>
      </c>
    </row>
    <row r="59" ht="20" customHeight="1" spans="1:2" x14ac:dyDescent="0.25">
      <c r="A59" s="17" t="s">
        <v>109</v>
      </c>
      <c r="B59" s="17"/>
    </row>
    <row r="60" spans="1:2" x14ac:dyDescent="0.25">
      <c r="A60" s="14" t="s">
        <v>110</v>
      </c>
      <c r="B60" s="18" t="s">
        <v>111</v>
      </c>
    </row>
    <row r="61" spans="1:2" x14ac:dyDescent="0.25">
      <c r="A61" s="14" t="s">
        <v>112</v>
      </c>
      <c r="B61" s="18" t="s">
        <v>113</v>
      </c>
    </row>
    <row r="62" spans="1:2" x14ac:dyDescent="0.25">
      <c r="A62" s="14" t="s">
        <v>114</v>
      </c>
      <c r="B62" s="18" t="s">
        <v>115</v>
      </c>
    </row>
    <row r="63" spans="1:2" x14ac:dyDescent="0.25">
      <c r="A63" s="14" t="s">
        <v>116</v>
      </c>
      <c r="B63" s="18" t="s">
        <v>117</v>
      </c>
    </row>
  </sheetData>
  <sheetProtection sheet="1"/>
  <mergeCells count="13">
    <mergeCell ref="A1:B1"/>
    <mergeCell ref="A2:B2"/>
    <mergeCell ref="A6:B6"/>
    <mergeCell ref="A8:B8"/>
    <mergeCell ref="A16:B16"/>
    <mergeCell ref="A21:B21"/>
    <mergeCell ref="A23:B23"/>
    <mergeCell ref="A30:B30"/>
    <mergeCell ref="A37:B37"/>
    <mergeCell ref="A39:B39"/>
    <mergeCell ref="A46:B46"/>
    <mergeCell ref="A53:B53"/>
    <mergeCell ref="A59:B59"/>
  </mergeCells>
  <dataValidations count="5">
    <dataValidation type="list" allowBlank="1" showErrorMessage="1" errorTitle="Valor no válido" error="Elija una opción de la lista." sqref="B14">
      <formula1>"Sí,No,Parcial"</formula1>
    </dataValidation>
    <dataValidation type="list" allowBlank="1" showErrorMessage="1" errorTitle="Valor no válido" error="Elija una opción de la lista." sqref="B17">
      <formula1>"Tarifario propio (recomendado),SOAT (solo referencia),ISS 2001 (solo referencia, desactualizado),Nota Técnica País (mediana nacional, sin zona ni finalidad)"</formula1>
    </dataValidation>
    <dataValidation type="list" allowBlank="1" showErrorMessage="1" errorTitle="Valor no válido" error="Elija una opción de la lista." sqref="B33">
      <formula1>"Sí,No,No aplica"</formula1>
    </dataValidation>
    <dataValidation type="list" allowBlank="1" showErrorMessage="1" errorTitle="Valor no válido" error="Elija una opción de la lista." sqref="B40">
      <formula1>"Capitación,Evento,Paquete o canasta,Pago Global Prospectivo (PGP),Resultado"</formula1>
    </dataValidation>
    <dataValidation type="list" allowBlank="1" showErrorMessage="1" errorTitle="Valor no válido" error="Elija una opción de la lista." sqref="B51">
      <formula1>"Mensual,Trimestral,Semestral,Anual"</formula1>
    </dataValidation>
  </dataValidations>
  <hyperlinks>
    <hyperlink ref="A4" r:id="rId1" tooltip="Ir a la hoja &quot;Guía&quot;" location="#'Guía'!A1"/>
    <hyperlink ref="B4" r:id="rId2" tooltip="Ir a la hoja &quot;Resumen&quot;" location="#'Resumen'!A1"/>
  </hyperlinks>
  <pageMargins left="0.4" right="0.4" top="0.5" bottom="0.5" header="0.2" footer="0.2"/>
  <pageSetup orientation="portrait" fitToWidth="1" fitToHeight="0"/>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6"/>
  <sheetViews>
    <sheetView workbookViewId="0" showGridLines="0"/>
  </sheetViews>
  <sheetFormatPr defaultRowHeight="15" outlineLevelRow="0" outlineLevelCol="0" x14ac:dyDescent="55"/>
  <cols>
    <col min="1" max="1" width="42" customWidth="1"/>
    <col min="2" max="2" width="24" customWidth="1"/>
  </cols>
  <sheetData>
    <row r="1" spans="1:2" x14ac:dyDescent="0.25">
      <c r="A1" s="1" t="s">
        <v>0</v>
      </c>
      <c r="B1" s="1"/>
    </row>
    <row r="2" ht="26" customHeight="1" spans="1:2" x14ac:dyDescent="0.25">
      <c r="A2" s="2" t="s">
        <v>1</v>
      </c>
      <c r="B2" s="2"/>
    </row>
    <row r="4" ht="22" customHeight="1" spans="1:2" x14ac:dyDescent="0.25">
      <c r="A4" s="3" t="s">
        <v>38</v>
      </c>
      <c r="B4" s="3" t="s">
        <v>2</v>
      </c>
    </row>
    <row r="5" ht="30" customHeight="1" spans="1:2" x14ac:dyDescent="0.25">
      <c r="A5" s="5" t="s">
        <v>5</v>
      </c>
      <c r="B5" s="6" t="s">
        <v>39</v>
      </c>
    </row>
    <row r="6" spans="1:2" x14ac:dyDescent="0.25">
      <c r="A6" s="16" t="s">
        <v>118</v>
      </c>
      <c r="B6" s="16"/>
    </row>
    <row r="8" ht="20" customHeight="1" spans="1:2" x14ac:dyDescent="0.25">
      <c r="A8" s="17" t="s">
        <v>119</v>
      </c>
      <c r="B8" s="17"/>
    </row>
    <row r="9" spans="1:2" x14ac:dyDescent="0.25">
      <c r="A9" s="14" t="s">
        <v>120</v>
      </c>
      <c r="B9" s="22">
        <f>'Ingreso de valores'!B13</f>
      </c>
    </row>
    <row r="11" ht="20" customHeight="1" spans="1:2" x14ac:dyDescent="0.25">
      <c r="A11" s="17" t="s">
        <v>121</v>
      </c>
      <c r="B11" s="17"/>
    </row>
    <row r="12" spans="1:2" x14ac:dyDescent="0.25">
      <c r="A12" s="14" t="s">
        <v>122</v>
      </c>
      <c r="B12" s="23">
        <f>'Ingreso de valores'!B24+'Ingreso de valores'!B25+'Ingreso de valores'!B26+'Ingreso de valores'!B27+'Ingreso de valores'!B28</f>
      </c>
    </row>
    <row r="13" spans="1:2" x14ac:dyDescent="0.25">
      <c r="A13" s="14" t="s">
        <v>123</v>
      </c>
      <c r="B13" s="23">
        <f>B12/'Ingreso de valores'!B42</f>
      </c>
    </row>
    <row r="14" spans="1:2" x14ac:dyDescent="0.25">
      <c r="A14" s="14" t="s">
        <v>124</v>
      </c>
      <c r="B14" s="23">
        <f>B12/'Ingreso de valores'!B13</f>
      </c>
    </row>
    <row r="16" ht="20" customHeight="1" spans="1:2" x14ac:dyDescent="0.25">
      <c r="A16" s="17" t="s">
        <v>125</v>
      </c>
      <c r="B16" s="17"/>
    </row>
    <row r="17" spans="1:2" x14ac:dyDescent="0.25">
      <c r="A17" s="14" t="s">
        <v>126</v>
      </c>
      <c r="B17" s="23">
        <f>'Ingreso de valores'!B42*'Ingreso de valores'!B41</f>
      </c>
    </row>
    <row r="18" spans="1:2" x14ac:dyDescent="0.25">
      <c r="A18" s="14" t="s">
        <v>127</v>
      </c>
      <c r="B18" s="23">
        <f>B17-B12</f>
      </c>
    </row>
    <row r="19" spans="1:2" x14ac:dyDescent="0.25">
      <c r="A19" s="14" t="s">
        <v>128</v>
      </c>
      <c r="B19" s="23">
        <f>'Ingreso de valores'!B41-B13</f>
      </c>
    </row>
    <row r="20" spans="1:2" x14ac:dyDescent="0.25">
      <c r="A20" s="14" t="s">
        <v>129</v>
      </c>
      <c r="B20" s="24">
        <f>B18/B17</f>
      </c>
    </row>
    <row r="22" ht="20" customHeight="1" spans="1:2" x14ac:dyDescent="0.25">
      <c r="A22" s="17" t="s">
        <v>130</v>
      </c>
      <c r="B22" s="17"/>
    </row>
    <row r="23" spans="1:2" x14ac:dyDescent="0.25">
      <c r="A23" s="14" t="s">
        <v>131</v>
      </c>
      <c r="B23" s="25">
        <f>B12/'Ingreso de valores'!B41</f>
      </c>
    </row>
    <row r="24" spans="1:2" x14ac:dyDescent="0.25">
      <c r="A24" s="14" t="s">
        <v>132</v>
      </c>
      <c r="B24" s="26">
        <f>IF('Ingreso de valores'!B42&gt;=B23,"Por encima del punto de equilibrio","Por debajo del punto de equilibrio")</f>
      </c>
    </row>
    <row r="26" ht="60" customHeight="1" spans="1:2" x14ac:dyDescent="0.25">
      <c r="A26" s="15" t="s">
        <v>133</v>
      </c>
      <c r="B26" s="15"/>
    </row>
  </sheetData>
  <sheetProtection sheet="1"/>
  <mergeCells count="8">
    <mergeCell ref="A1:B1"/>
    <mergeCell ref="A2:B2"/>
    <mergeCell ref="A6:B6"/>
    <mergeCell ref="A8:B8"/>
    <mergeCell ref="A11:B11"/>
    <mergeCell ref="A16:B16"/>
    <mergeCell ref="A22:B22"/>
    <mergeCell ref="A26:B26"/>
  </mergeCells>
  <hyperlinks>
    <hyperlink ref="A4" r:id="rId1" tooltip="Ir a la hoja &quot;Guía&quot;" location="#'Guía'!A1"/>
    <hyperlink ref="B4" r:id="rId2" tooltip="Ir a la hoja &quot;Ingreso de valores&quot;" location="#'Ingreso de valores'!A1"/>
  </hyperlinks>
  <pageMargins left="0.4" right="0.4" top="0.5" bottom="0.5" header="0.2" footer="0.2"/>
  <pageSetup orientation="portrait" fitToWidth="1" fitToHeight="0"/>
  <legacy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Guía</vt:lpstr>
      <vt:lpstr>Ingreso de valores</vt:lpstr>
      <vt:lpstr>Resumen</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Fabian Dávila Ramírez</dc:creator>
  <dc:title>Plantilla — Nota Técnica de Proveedor de Salud a EPS</dc:title>
  <dc:subject/>
  <dc:description/>
  <cp:keywords/>
  <cp:category/>
  <cp:lastModifiedBy>Unknown</cp:lastModifiedBy>
  <dcterms:created xsi:type="dcterms:W3CDTF">2026-09-16T00:12:24Z</dcterms:created>
  <dcterms:modified xsi:type="dcterms:W3CDTF">2026-09-16T00:12:24Z</dcterms:modified>
</cp:coreProperties>
</file>